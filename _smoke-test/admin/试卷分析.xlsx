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题分析" sheetId="1" state="visible" r:id="rId1"/>
    <sheet xmlns:r="http://schemas.openxmlformats.org/officeDocument/2006/relationships" name="总体概况" sheetId="2" state="visible" r:id="rId2"/>
    <sheet xmlns:r="http://schemas.openxmlformats.org/officeDocument/2006/relationships" name="分数段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.5"/>
    </font>
  </fonts>
  <fills count="4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逐题得分率与区分度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'逐题分析'!D1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'逐题分析'!$A$2:$A$9</f>
            </numRef>
          </cat>
          <val>
            <numRef>
              <f>'逐题分析'!$D$2:$D$9</f>
            </numRef>
          </val>
        </ser>
        <ser>
          <idx val="1"/>
          <order val="1"/>
          <tx>
            <strRef>
              <f>'逐题分析'!G1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'逐题分析'!$A$2:$A$9</f>
            </numRef>
          </cat>
          <val>
            <numRef>
              <f>'逐题分析'!$G$2:$G$9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分数段分布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'分数段分布'!B1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'分数段分布'!$A$2:$A$6</f>
            </numRef>
          </cat>
          <val>
            <numRef>
              <f>'分数段分布'!$B$2:$B$6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9" customWidth="1" min="4" max="4"/>
    <col width="14" customWidth="1" min="5" max="5"/>
    <col width="14" customWidth="1" min="6" max="6"/>
    <col width="9" customWidth="1" min="7" max="7"/>
    <col width="26" customWidth="1" min="8" max="8"/>
  </cols>
  <sheetData>
    <row r="1">
      <c r="A1" s="1" t="inlineStr">
        <is>
          <t>题号</t>
        </is>
      </c>
      <c r="B1" s="1" t="inlineStr">
        <is>
          <t>满分</t>
        </is>
      </c>
      <c r="C1" s="1" t="inlineStr">
        <is>
          <t>平均分</t>
        </is>
      </c>
      <c r="D1" s="1" t="inlineStr">
        <is>
          <t>得分率P</t>
        </is>
      </c>
      <c r="E1" s="1" t="inlineStr">
        <is>
          <t>高分组得分率</t>
        </is>
      </c>
      <c r="F1" s="1" t="inlineStr">
        <is>
          <t>低分组得分率</t>
        </is>
      </c>
      <c r="G1" s="1" t="inlineStr">
        <is>
          <t>区分度D</t>
        </is>
      </c>
      <c r="H1" s="1" t="inlineStr">
        <is>
          <t>评价</t>
        </is>
      </c>
    </row>
    <row r="2">
      <c r="A2" s="2" t="inlineStr">
        <is>
          <t>Q1</t>
        </is>
      </c>
      <c r="B2" s="2" t="n">
        <v>10</v>
      </c>
      <c r="C2" s="2" t="n">
        <v>8</v>
      </c>
      <c r="D2" s="2" t="n">
        <v>0.8</v>
      </c>
      <c r="E2" s="2" t="n">
        <v>0.8120000000000001</v>
      </c>
      <c r="F2" s="2" t="n">
        <v>0.75</v>
      </c>
      <c r="G2" s="2" t="n">
        <v>0.062</v>
      </c>
      <c r="H2" s="2" t="inlineStr">
        <is>
          <t>区分度低，建议淘汰或重编</t>
        </is>
      </c>
    </row>
    <row r="3">
      <c r="A3" s="3" t="inlineStr">
        <is>
          <t>Q2</t>
        </is>
      </c>
      <c r="B3" s="3" t="n">
        <v>10</v>
      </c>
      <c r="C3" s="3" t="n">
        <v>7.4</v>
      </c>
      <c r="D3" s="3" t="n">
        <v>0.74</v>
      </c>
      <c r="E3" s="3" t="n">
        <v>0.925</v>
      </c>
      <c r="F3" s="3" t="n">
        <v>0.713</v>
      </c>
      <c r="G3" s="3" t="n">
        <v>0.213</v>
      </c>
      <c r="H3" s="3" t="inlineStr">
        <is>
          <t>尚可，建议修改</t>
        </is>
      </c>
    </row>
    <row r="4">
      <c r="A4" s="2" t="inlineStr">
        <is>
          <t>Q3</t>
        </is>
      </c>
      <c r="B4" s="2" t="n">
        <v>15</v>
      </c>
      <c r="C4" s="2" t="n">
        <v>11.9</v>
      </c>
      <c r="D4" s="2" t="n">
        <v>0.793</v>
      </c>
      <c r="E4" s="2" t="n">
        <v>0.8</v>
      </c>
      <c r="F4" s="2" t="n">
        <v>0.733</v>
      </c>
      <c r="G4" s="2" t="n">
        <v>0.067</v>
      </c>
      <c r="H4" s="2" t="inlineStr">
        <is>
          <t>区分度低，建议淘汰或重编</t>
        </is>
      </c>
    </row>
    <row r="5">
      <c r="A5" s="2" t="inlineStr">
        <is>
          <t>Q4</t>
        </is>
      </c>
      <c r="B5" s="2" t="n">
        <v>15</v>
      </c>
      <c r="C5" s="2" t="n">
        <v>10.53</v>
      </c>
      <c r="D5" s="2" t="n">
        <v>0.702</v>
      </c>
      <c r="E5" s="2" t="n">
        <v>0.792</v>
      </c>
      <c r="F5" s="2" t="n">
        <v>0.6</v>
      </c>
      <c r="G5" s="2" t="n">
        <v>0.192</v>
      </c>
      <c r="H5" s="2" t="inlineStr">
        <is>
          <t>区分度低，建议淘汰或重编</t>
        </is>
      </c>
    </row>
    <row r="6">
      <c r="A6" s="2" t="inlineStr">
        <is>
          <t>Q5</t>
        </is>
      </c>
      <c r="B6" s="2" t="n">
        <v>10</v>
      </c>
      <c r="C6" s="2" t="n">
        <v>7.27</v>
      </c>
      <c r="D6" s="2" t="n">
        <v>0.727</v>
      </c>
      <c r="E6" s="2" t="n">
        <v>0.8120000000000001</v>
      </c>
      <c r="F6" s="2" t="n">
        <v>0.65</v>
      </c>
      <c r="G6" s="2" t="n">
        <v>0.162</v>
      </c>
      <c r="H6" s="2" t="inlineStr">
        <is>
          <t>区分度低，建议淘汰或重编</t>
        </is>
      </c>
    </row>
    <row r="7">
      <c r="A7" s="3" t="inlineStr">
        <is>
          <t>Q6</t>
        </is>
      </c>
      <c r="B7" s="3" t="n">
        <v>20</v>
      </c>
      <c r="C7" s="3" t="n">
        <v>14.77</v>
      </c>
      <c r="D7" s="3" t="n">
        <v>0.738</v>
      </c>
      <c r="E7" s="3" t="n">
        <v>0.856</v>
      </c>
      <c r="F7" s="3" t="n">
        <v>0.581</v>
      </c>
      <c r="G7" s="3" t="n">
        <v>0.275</v>
      </c>
      <c r="H7" s="3" t="inlineStr">
        <is>
          <t>尚可，建议修改</t>
        </is>
      </c>
    </row>
    <row r="8">
      <c r="A8" s="2" t="inlineStr">
        <is>
          <t>Q7</t>
        </is>
      </c>
      <c r="B8" s="2" t="n">
        <v>10</v>
      </c>
      <c r="C8" s="2" t="n">
        <v>7.17</v>
      </c>
      <c r="D8" s="2" t="n">
        <v>0.717</v>
      </c>
      <c r="E8" s="2" t="n">
        <v>0.775</v>
      </c>
      <c r="F8" s="2" t="n">
        <v>0.6</v>
      </c>
      <c r="G8" s="2" t="n">
        <v>0.175</v>
      </c>
      <c r="H8" s="2" t="inlineStr">
        <is>
          <t>区分度低，建议淘汰或重编</t>
        </is>
      </c>
    </row>
    <row r="9">
      <c r="A9" s="2" t="inlineStr">
        <is>
          <t>Q8</t>
        </is>
      </c>
      <c r="B9" s="2" t="n">
        <v>10</v>
      </c>
      <c r="C9" s="2" t="n">
        <v>7.3</v>
      </c>
      <c r="D9" s="2" t="n">
        <v>0.73</v>
      </c>
      <c r="E9" s="2" t="n">
        <v>0.775</v>
      </c>
      <c r="F9" s="2" t="n">
        <v>0.725</v>
      </c>
      <c r="G9" s="2" t="n">
        <v>0.05</v>
      </c>
      <c r="H9" s="2" t="inlineStr">
        <is>
          <t>区分度低，建议淘汰或重编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</cols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考生数</t>
        </is>
      </c>
      <c r="B2" t="n">
        <v>30</v>
      </c>
    </row>
    <row r="3">
      <c r="A3" t="inlineStr">
        <is>
          <t>平均分</t>
        </is>
      </c>
      <c r="B3" t="n">
        <v>74.33</v>
      </c>
    </row>
    <row r="4">
      <c r="A4" t="inlineStr">
        <is>
          <t>标准差</t>
        </is>
      </c>
      <c r="B4" t="n">
        <v>6.36</v>
      </c>
    </row>
    <row r="5">
      <c r="A5" t="inlineStr">
        <is>
          <t>最高分</t>
        </is>
      </c>
      <c r="B5" t="n">
        <v>86</v>
      </c>
    </row>
    <row r="6">
      <c r="A6" t="inlineStr">
        <is>
          <t>最低分</t>
        </is>
      </c>
      <c r="B6" t="n">
        <v>60</v>
      </c>
    </row>
    <row r="7">
      <c r="A7" t="inlineStr">
        <is>
          <t>及格率(&gt;=60%)</t>
        </is>
      </c>
      <c r="B7" t="n">
        <v>1</v>
      </c>
    </row>
    <row r="8">
      <c r="A8" t="inlineStr">
        <is>
          <t>偏度</t>
        </is>
      </c>
      <c r="B8" t="n">
        <v>-0.253</v>
      </c>
    </row>
    <row r="9">
      <c r="A9" t="inlineStr">
        <is>
          <t>峰度</t>
        </is>
      </c>
      <c r="B9" t="n">
        <v>-0.351</v>
      </c>
    </row>
    <row r="10">
      <c r="A10" t="inlineStr">
        <is>
          <t>高分组成员数</t>
        </is>
      </c>
      <c r="B10" t="n">
        <v>8</v>
      </c>
    </row>
    <row r="11">
      <c r="A11" t="inlineStr">
        <is>
          <t>低分组成员数</t>
        </is>
      </c>
      <c r="B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</cols>
  <sheetData>
    <row r="1">
      <c r="A1" s="1" t="inlineStr">
        <is>
          <t>分数段</t>
        </is>
      </c>
      <c r="B1" s="1" t="inlineStr">
        <is>
          <t>人数</t>
        </is>
      </c>
      <c r="C1" s="1" t="inlineStr">
        <is>
          <t>占比</t>
        </is>
      </c>
    </row>
    <row r="2">
      <c r="A2" t="inlineStr">
        <is>
          <t>90-100%</t>
        </is>
      </c>
      <c r="B2" t="n">
        <v>8</v>
      </c>
      <c r="C2" t="n">
        <v>0.267</v>
      </c>
    </row>
    <row r="3">
      <c r="A3" t="inlineStr">
        <is>
          <t>80-89%</t>
        </is>
      </c>
      <c r="B3" t="n">
        <v>16</v>
      </c>
      <c r="C3" t="n">
        <v>0.533</v>
      </c>
    </row>
    <row r="4">
      <c r="A4" t="inlineStr">
        <is>
          <t>70-79%</t>
        </is>
      </c>
      <c r="B4" t="n">
        <v>5</v>
      </c>
      <c r="C4" t="n">
        <v>0.167</v>
      </c>
    </row>
    <row r="5">
      <c r="A5" t="inlineStr">
        <is>
          <t>60-69%</t>
        </is>
      </c>
      <c r="B5" t="n">
        <v>1</v>
      </c>
      <c r="C5" t="n">
        <v>0.033</v>
      </c>
    </row>
    <row r="6">
      <c r="A6" t="inlineStr">
        <is>
          <t>60% 以下</t>
        </is>
      </c>
      <c r="B6" t="n">
        <v>0</v>
      </c>
      <c r="C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2026-10-20T08:07:43Z</dcterms:created>
  <dcterms:modified xmlns:dcterms="http://purl.org/dc/terms/" xmlns:xsi="http://www.w3.org/2001/XMLSchema-instance" xsi:type="dcterms:W3CDTF">2026-10-20T08:07:43Z</dcterms:modified>
</cp:coreProperties>
</file>